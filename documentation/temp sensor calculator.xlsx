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d529807eb1393ed/documents/amateur radio/SDR/ganymede/github/Ganymede/documentation/"/>
    </mc:Choice>
  </mc:AlternateContent>
  <xr:revisionPtr revIDLastSave="440" documentId="11_0B940810EFE5780F5203872B4B013B0D3336DB44" xr6:coauthVersionLast="47" xr6:coauthVersionMax="47" xr10:uidLastSave="{C676AF0C-6548-4F3B-A8DF-6223E2784F5C}"/>
  <bookViews>
    <workbookView xWindow="-38520" yWindow="-120" windowWidth="38640" windowHeight="21120" activeTab="2" xr2:uid="{00000000-000D-0000-FFFF-FFFF00000000}"/>
  </bookViews>
  <sheets>
    <sheet name="temp sensor" sheetId="1" r:id="rId1"/>
    <sheet name="voltage" sheetId="3" r:id="rId2"/>
    <sheet name="Fwd, Reverse power" sheetId="4" r:id="rId3"/>
    <sheet name="Curren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4" l="1"/>
  <c r="B38" i="4"/>
  <c r="C33" i="4"/>
  <c r="B26" i="5"/>
  <c r="B22" i="3"/>
  <c r="B37" i="5"/>
  <c r="C24" i="4"/>
  <c r="B24" i="4"/>
  <c r="C20" i="4"/>
  <c r="B20" i="4"/>
  <c r="B11" i="4"/>
  <c r="B12" i="4" s="1"/>
  <c r="C10" i="4"/>
  <c r="C11" i="4" s="1"/>
  <c r="C12" i="4" s="1"/>
  <c r="B30" i="5"/>
  <c r="G30" i="5"/>
  <c r="B32" i="5"/>
  <c r="B25" i="5"/>
  <c r="B18" i="5"/>
  <c r="B13" i="5"/>
  <c r="B19" i="5" s="1"/>
  <c r="B14" i="3"/>
  <c r="C15" i="4"/>
  <c r="B15" i="4"/>
  <c r="C16" i="4" l="1"/>
  <c r="B16" i="4"/>
  <c r="C26" i="4"/>
  <c r="B26" i="4"/>
  <c r="B21" i="5"/>
  <c r="B24" i="5" s="1"/>
  <c r="B10" i="3"/>
  <c r="B20" i="3" s="1"/>
  <c r="E24" i="1"/>
  <c r="B27" i="4" l="1"/>
  <c r="B30" i="4"/>
  <c r="B37" i="4" s="1"/>
  <c r="C27" i="4"/>
  <c r="C31" i="4" s="1"/>
  <c r="C32" i="4" s="1"/>
  <c r="C30" i="4"/>
  <c r="C37" i="4" s="1"/>
  <c r="C40" i="4" s="1"/>
  <c r="C41" i="4" s="1"/>
  <c r="B31" i="4"/>
  <c r="B32" i="4" s="1"/>
  <c r="B40" i="4"/>
  <c r="B41" i="4" s="1"/>
  <c r="B15" i="3"/>
  <c r="B17" i="3" s="1"/>
  <c r="E53" i="1"/>
  <c r="B21" i="3"/>
  <c r="C46" i="1"/>
  <c r="D46" i="1"/>
  <c r="E46" i="1" s="1"/>
  <c r="C47" i="1"/>
  <c r="D47" i="1" s="1"/>
  <c r="E47" i="1" s="1"/>
  <c r="C48" i="1"/>
  <c r="D48" i="1" s="1"/>
  <c r="E48" i="1" s="1"/>
  <c r="C49" i="1"/>
  <c r="D49" i="1" s="1"/>
  <c r="E49" i="1" s="1"/>
  <c r="C50" i="1"/>
  <c r="D50" i="1" s="1"/>
  <c r="E50" i="1" s="1"/>
  <c r="C51" i="1"/>
  <c r="D51" i="1" s="1"/>
  <c r="E51" i="1" s="1"/>
  <c r="C52" i="1"/>
  <c r="D52" i="1" s="1"/>
  <c r="E52" i="1" s="1"/>
  <c r="C53" i="1"/>
  <c r="D53" i="1" s="1"/>
  <c r="C54" i="1"/>
  <c r="D54" i="1" s="1"/>
  <c r="E54" i="1" s="1"/>
  <c r="C55" i="1"/>
  <c r="D55" i="1"/>
  <c r="E55" i="1" s="1"/>
  <c r="C56" i="1"/>
  <c r="D56" i="1"/>
  <c r="E56" i="1" s="1"/>
  <c r="B26" i="3" l="1"/>
  <c r="B28" i="3" s="1"/>
  <c r="D37" i="1"/>
  <c r="E37" i="1" s="1"/>
  <c r="D39" i="1"/>
  <c r="E39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 s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C38" i="1"/>
  <c r="D38" i="1" s="1"/>
  <c r="E38" i="1" s="1"/>
  <c r="C39" i="1"/>
  <c r="C40" i="1"/>
  <c r="D40" i="1" s="1"/>
  <c r="E40" i="1" s="1"/>
  <c r="C41" i="1"/>
  <c r="D41" i="1" s="1"/>
  <c r="E41" i="1" s="1"/>
  <c r="C42" i="1"/>
  <c r="D42" i="1" s="1"/>
  <c r="E42" i="1" s="1"/>
  <c r="C43" i="1"/>
  <c r="D43" i="1" s="1"/>
  <c r="E43" i="1" s="1"/>
  <c r="C44" i="1"/>
  <c r="D44" i="1" s="1"/>
  <c r="E44" i="1" s="1"/>
  <c r="C45" i="1"/>
  <c r="D45" i="1" s="1"/>
  <c r="E45" i="1" s="1"/>
  <c r="C25" i="1"/>
  <c r="D25" i="1" s="1"/>
  <c r="E25" i="1" s="1"/>
</calcChain>
</file>

<file path=xl/sharedStrings.xml><?xml version="1.0" encoding="utf-8"?>
<sst xmlns="http://schemas.openxmlformats.org/spreadsheetml/2006/main" count="160" uniqueCount="118">
  <si>
    <t>500W amplifier current sensing</t>
  </si>
  <si>
    <t>Temp sense circuit:</t>
  </si>
  <si>
    <t>+5V</t>
  </si>
  <si>
    <t>0V</t>
  </si>
  <si>
    <t>Vtemp</t>
  </si>
  <si>
    <t>VTemp</t>
  </si>
  <si>
    <t>2K7</t>
  </si>
  <si>
    <t>10K therm-istor</t>
  </si>
  <si>
    <t>Thermistor: digikey</t>
  </si>
  <si>
    <t>495-2163-ND</t>
  </si>
  <si>
    <t>thermistor characteristic</t>
  </si>
  <si>
    <t>Temp</t>
  </si>
  <si>
    <r>
      <t>R/R</t>
    </r>
    <r>
      <rPr>
        <vertAlign val="subscript"/>
        <sz val="11"/>
        <color theme="1"/>
        <rFont val="Calibri"/>
        <family val="2"/>
        <scheme val="minor"/>
      </rPr>
      <t>25</t>
    </r>
  </si>
  <si>
    <t>R</t>
  </si>
  <si>
    <t xml:space="preserve">nominal </t>
  </si>
  <si>
    <t>ohms</t>
  </si>
  <si>
    <t>suppy</t>
  </si>
  <si>
    <t>V</t>
  </si>
  <si>
    <t>divider resistor</t>
  </si>
  <si>
    <t>ADC</t>
  </si>
  <si>
    <t>W</t>
  </si>
  <si>
    <t>AREF</t>
  </si>
  <si>
    <t>Divider on pallet PCB:</t>
  </si>
  <si>
    <t>* ADC reading</t>
  </si>
  <si>
    <t>PSU Vin (V) =</t>
  </si>
  <si>
    <t>scaling factor to convert ADC reading to PSU voltage:</t>
  </si>
  <si>
    <t>PSU Voltage measurement scaling</t>
  </si>
  <si>
    <t>Forward and reverse power</t>
  </si>
  <si>
    <t>ADC count</t>
  </si>
  <si>
    <t>(10 bits)</t>
  </si>
  <si>
    <t>Arduino ADC count</t>
  </si>
  <si>
    <t>Full scale voltage</t>
  </si>
  <si>
    <t>Current Sensor</t>
  </si>
  <si>
    <t>Output voltage scale</t>
  </si>
  <si>
    <t>A</t>
  </si>
  <si>
    <t xml:space="preserve">Arduino ADC full scale </t>
  </si>
  <si>
    <t>Arduino ADC full count</t>
  </si>
  <si>
    <t>Interpol</t>
  </si>
  <si>
    <t>V/A</t>
  </si>
  <si>
    <t>*input voltage</t>
  </si>
  <si>
    <t>Full scale reading</t>
  </si>
  <si>
    <t>Hall effect sensor</t>
  </si>
  <si>
    <t>R111</t>
  </si>
  <si>
    <t>R109</t>
  </si>
  <si>
    <t>Forward power</t>
  </si>
  <si>
    <t>Reverse power</t>
  </si>
  <si>
    <t>transformer coupling turns</t>
  </si>
  <si>
    <t>dB</t>
  </si>
  <si>
    <t>R4, R10-R12</t>
  </si>
  <si>
    <t>R3, R6, R7</t>
  </si>
  <si>
    <t>RF volts RMS</t>
  </si>
  <si>
    <t>Sensed path</t>
  </si>
  <si>
    <t>R113</t>
  </si>
  <si>
    <t>R112</t>
  </si>
  <si>
    <t>R114</t>
  </si>
  <si>
    <t>potentiometer</t>
  </si>
  <si>
    <t>division ratio</t>
  </si>
  <si>
    <t>(insignificant)</t>
  </si>
  <si>
    <t>potentiometer aimpoint</t>
  </si>
  <si>
    <t>combined division ratio to potentiometer</t>
  </si>
  <si>
    <t>(aim for 3.5)</t>
  </si>
  <si>
    <t>voltage follower (U5B) output</t>
  </si>
  <si>
    <t>final potential divider (R114, potentiometer)</t>
  </si>
  <si>
    <t>sensor &amp; ADC input scaling</t>
  </si>
  <si>
    <t>At trip voltage:</t>
  </si>
  <si>
    <t>Input voltage at trip point</t>
  </si>
  <si>
    <t>sensor  &amp; ADC voltage</t>
  </si>
  <si>
    <t>ACS723LLCTR-40AU-T</t>
  </si>
  <si>
    <t>(from current sensor datasheet)</t>
  </si>
  <si>
    <t>sensor circuit potential divider R109, R111</t>
  </si>
  <si>
    <t>voltage follower (U5A) output</t>
  </si>
  <si>
    <t>final potential divider (R110, potentiometer)</t>
  </si>
  <si>
    <t>R110</t>
  </si>
  <si>
    <t>*PA current</t>
  </si>
  <si>
    <t>Trip current</t>
  </si>
  <si>
    <t>(aim for 3.5V)</t>
  </si>
  <si>
    <t>(derived from current sensor datasheet)</t>
  </si>
  <si>
    <t>sensor &amp; ADC input voltage at trip current</t>
  </si>
  <si>
    <t>ADC reading at trip current</t>
  </si>
  <si>
    <t>ADC reading at trip voltage</t>
  </si>
  <si>
    <t>(user to derive software constants)</t>
  </si>
  <si>
    <t>scaling factor to convert ADC reading to PA current:</t>
  </si>
  <si>
    <t>PA current  =</t>
  </si>
  <si>
    <t>Full scale current reading</t>
  </si>
  <si>
    <t>Some current sensors have a bias current, to allow reading of small negative currents</t>
  </si>
  <si>
    <t>For these: measure ADC voltage when there is no current present; subtract from ADC readings to get true PA current.</t>
  </si>
  <si>
    <t>Offset current (derived from sensor output voltage @ 0A)</t>
  </si>
  <si>
    <t>* (ADC reading - ADC reading with PA off)</t>
  </si>
  <si>
    <t xml:space="preserve">Potentiometers R65, R66 on control board adjusted to set analogue in to Arduino </t>
  </si>
  <si>
    <t>R2, R5 on LPF board to be omitted (not needed, and would only make sense if midpoint was grounded)</t>
  </si>
  <si>
    <t>max power at trip point</t>
  </si>
  <si>
    <t>(reverse power assumes trip at 3:1 VSWR)</t>
  </si>
  <si>
    <t>transformer division (linear volts)</t>
  </si>
  <si>
    <t>resistive pad after VSWR bridge, still 50Ω RF</t>
  </si>
  <si>
    <t>resistor Pad resistors</t>
  </si>
  <si>
    <t>resistive pad volt drop</t>
  </si>
  <si>
    <t>potential divider with R8/R9 &amp; 10K pot:</t>
  </si>
  <si>
    <t>R8/R9 value</t>
  </si>
  <si>
    <t>potentiometer value</t>
  </si>
  <si>
    <t>peak voltage across potentiometer at trip</t>
  </si>
  <si>
    <t>potentiometer setting</t>
  </si>
  <si>
    <t>ADC, comparator input at trip point</t>
  </si>
  <si>
    <t>RF volts peak</t>
  </si>
  <si>
    <t>peak voltage at VSWR bridge output</t>
  </si>
  <si>
    <t>the original 30 &amp; 20 dB much too big!</t>
  </si>
  <si>
    <t>total division ratio to ADC, comparator</t>
  </si>
  <si>
    <t>combined division ratio to get voltage across potentiometer</t>
  </si>
  <si>
    <t>scaling factor to convert ADC reading to RF voltage &amp; power:</t>
  </si>
  <si>
    <t>ADC reading at trip point</t>
  </si>
  <si>
    <t>RMS RF voltage (Volts) =</t>
  </si>
  <si>
    <t>Full scale reading (RMS volts)</t>
  </si>
  <si>
    <t>full scale power</t>
  </si>
  <si>
    <t>to get 6dB pads: shunt R=150, series R=39</t>
  </si>
  <si>
    <t>comparator PWM setting</t>
  </si>
  <si>
    <t>current PWM setting</t>
  </si>
  <si>
    <t>comparator PWM setting for reverse power</t>
  </si>
  <si>
    <t>scale factor to watts</t>
  </si>
  <si>
    <t>* ADC reading 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</si>
</sst>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quotePrefix="1"/>
    <xf numFmtId="0" fontId="0" fillId="0" borderId="2" xfId="0" applyBorder="1" applyAlignment="1">
      <alignment wrapText="1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  <xf numFmtId="0" fontId="1" fillId="0" borderId="0" xfId="0" applyFont="1" applyAlignment="1">
      <alignment wrapText="1"/>
    </xf>
    <xf numFmtId="9" fontId="0" fillId="0" borderId="0" xfId="1" applyFont="1"/>
    <xf numFmtId="166" fontId="0" fillId="0" borderId="0" xfId="1" applyNumberFormat="1" applyFont="1"/>
    <xf numFmtId="0" fontId="7" fillId="0" borderId="0" xfId="0" applyFont="1"/>
    <xf numFmtId="1" fontId="0" fillId="0" borderId="0" xfId="1" applyNumberFormat="1" applyFont="1"/>
    <xf numFmtId="0" fontId="4" fillId="0" borderId="0" xfId="0" applyFont="1" applyAlignment="1">
      <alignment wrapText="1"/>
    </xf>
    <xf numFmtId="165" fontId="0" fillId="0" borderId="0" xfId="0" applyNumberForma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Voltage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'temp sensor'!$A$25:$A$45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'temp sensor'!$D$25:$D$45</c:f>
              <c:numCache>
                <c:formatCode>0.00</c:formatCode>
                <c:ptCount val="21"/>
                <c:pt idx="0">
                  <c:v>0.38889208964682837</c:v>
                </c:pt>
                <c:pt idx="1">
                  <c:v>0.4871711594673595</c:v>
                </c:pt>
                <c:pt idx="2">
                  <c:v>0.60292081639944617</c:v>
                </c:pt>
                <c:pt idx="3">
                  <c:v>0.73698001965280058</c:v>
                </c:pt>
                <c:pt idx="4">
                  <c:v>0.88967971530249113</c:v>
                </c:pt>
                <c:pt idx="5">
                  <c:v>1.0629921259842521</c:v>
                </c:pt>
                <c:pt idx="6">
                  <c:v>1.2523191094619666</c:v>
                </c:pt>
                <c:pt idx="7">
                  <c:v>1.4564677958787355</c:v>
                </c:pt>
                <c:pt idx="8">
                  <c:v>1.6724479682854312</c:v>
                </c:pt>
                <c:pt idx="9">
                  <c:v>1.8951358180669615</c:v>
                </c:pt>
                <c:pt idx="10">
                  <c:v>2.1223078132369126</c:v>
                </c:pt>
                <c:pt idx="11">
                  <c:v>2.3522032303591032</c:v>
                </c:pt>
                <c:pt idx="12">
                  <c:v>2.5783532916977028</c:v>
                </c:pt>
                <c:pt idx="13">
                  <c:v>2.7960151606155379</c:v>
                </c:pt>
                <c:pt idx="14">
                  <c:v>3.0038716568021004</c:v>
                </c:pt>
                <c:pt idx="15">
                  <c:v>3.2003413697461061</c:v>
                </c:pt>
                <c:pt idx="16">
                  <c:v>3.3833738502794413</c:v>
                </c:pt>
                <c:pt idx="17">
                  <c:v>3.5524446081785173</c:v>
                </c:pt>
                <c:pt idx="18">
                  <c:v>3.7069682765892598</c:v>
                </c:pt>
                <c:pt idx="19">
                  <c:v>3.8472937850531213</c:v>
                </c:pt>
                <c:pt idx="20">
                  <c:v>3.973837431782457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C-464F-9456-78D9F4972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3921536"/>
        <c:axId val="-20839144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'temp sensor'!$A$25:$A$45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'temp sensor'!$B$25:$B$45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3.2014</c:v>
                      </c:pt>
                      <c:pt idx="1">
                        <c:v>2.5011000000000001</c:v>
                      </c:pt>
                      <c:pt idx="2">
                        <c:v>1.9691000000000001</c:v>
                      </c:pt>
                      <c:pt idx="3">
                        <c:v>1.5618000000000001</c:v>
                      </c:pt>
                      <c:pt idx="4">
                        <c:v>1.2474000000000001</c:v>
                      </c:pt>
                      <c:pt idx="5">
                        <c:v>1</c:v>
                      </c:pt>
                      <c:pt idx="6">
                        <c:v>0.80800000000000005</c:v>
                      </c:pt>
                      <c:pt idx="7">
                        <c:v>0.65690000000000004</c:v>
                      </c:pt>
                      <c:pt idx="8">
                        <c:v>0.53720000000000001</c:v>
                      </c:pt>
                      <c:pt idx="9">
                        <c:v>0.44235000000000002</c:v>
                      </c:pt>
                      <c:pt idx="10">
                        <c:v>0.36609999999999998</c:v>
                      </c:pt>
                      <c:pt idx="11">
                        <c:v>0.30392999999999998</c:v>
                      </c:pt>
                      <c:pt idx="12">
                        <c:v>0.25358999999999998</c:v>
                      </c:pt>
                      <c:pt idx="13">
                        <c:v>0.21282999999999999</c:v>
                      </c:pt>
                      <c:pt idx="14">
                        <c:v>0.17942</c:v>
                      </c:pt>
                      <c:pt idx="15">
                        <c:v>0.15182999999999999</c:v>
                      </c:pt>
                      <c:pt idx="16">
                        <c:v>0.12901000000000001</c:v>
                      </c:pt>
                      <c:pt idx="17">
                        <c:v>0.11002000000000001</c:v>
                      </c:pt>
                      <c:pt idx="18">
                        <c:v>9.4178999999999999E-2</c:v>
                      </c:pt>
                      <c:pt idx="19">
                        <c:v>8.0895999999999996E-2</c:v>
                      </c:pt>
                      <c:pt idx="20">
                        <c:v>6.9722000000000006E-2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45C-464F-9456-78D9F4972EA5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'temp sensor'!$A$25:$A$45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'temp sensor'!$C$25:$C$45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32014</c:v>
                      </c:pt>
                      <c:pt idx="1">
                        <c:v>25011</c:v>
                      </c:pt>
                      <c:pt idx="2">
                        <c:v>19691</c:v>
                      </c:pt>
                      <c:pt idx="3">
                        <c:v>15618</c:v>
                      </c:pt>
                      <c:pt idx="4">
                        <c:v>12474</c:v>
                      </c:pt>
                      <c:pt idx="5">
                        <c:v>10000</c:v>
                      </c:pt>
                      <c:pt idx="6">
                        <c:v>8080.0000000000009</c:v>
                      </c:pt>
                      <c:pt idx="7">
                        <c:v>6569</c:v>
                      </c:pt>
                      <c:pt idx="8">
                        <c:v>5372</c:v>
                      </c:pt>
                      <c:pt idx="9">
                        <c:v>4423.5</c:v>
                      </c:pt>
                      <c:pt idx="10">
                        <c:v>3661</c:v>
                      </c:pt>
                      <c:pt idx="11">
                        <c:v>3039.2999999999997</c:v>
                      </c:pt>
                      <c:pt idx="12">
                        <c:v>2535.8999999999996</c:v>
                      </c:pt>
                      <c:pt idx="13">
                        <c:v>2128.2999999999997</c:v>
                      </c:pt>
                      <c:pt idx="14">
                        <c:v>1794.2</c:v>
                      </c:pt>
                      <c:pt idx="15">
                        <c:v>1518.3</c:v>
                      </c:pt>
                      <c:pt idx="16">
                        <c:v>1290.1000000000001</c:v>
                      </c:pt>
                      <c:pt idx="17">
                        <c:v>1100.2</c:v>
                      </c:pt>
                      <c:pt idx="18">
                        <c:v>941.79</c:v>
                      </c:pt>
                      <c:pt idx="19">
                        <c:v>808.95999999999992</c:v>
                      </c:pt>
                      <c:pt idx="20">
                        <c:v>697.22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45C-464F-9456-78D9F4972EA5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'temp sensor'!$A$25:$A$45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'temp sensor'!$D$25:$D$45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0.38889208964682837</c:v>
                      </c:pt>
                      <c:pt idx="1">
                        <c:v>0.4871711594673595</c:v>
                      </c:pt>
                      <c:pt idx="2">
                        <c:v>0.60292081639944617</c:v>
                      </c:pt>
                      <c:pt idx="3">
                        <c:v>0.73698001965280058</c:v>
                      </c:pt>
                      <c:pt idx="4">
                        <c:v>0.88967971530249113</c:v>
                      </c:pt>
                      <c:pt idx="5">
                        <c:v>1.0629921259842521</c:v>
                      </c:pt>
                      <c:pt idx="6">
                        <c:v>1.2523191094619666</c:v>
                      </c:pt>
                      <c:pt idx="7">
                        <c:v>1.4564677958787355</c:v>
                      </c:pt>
                      <c:pt idx="8">
                        <c:v>1.6724479682854312</c:v>
                      </c:pt>
                      <c:pt idx="9">
                        <c:v>1.8951358180669615</c:v>
                      </c:pt>
                      <c:pt idx="10">
                        <c:v>2.1223078132369126</c:v>
                      </c:pt>
                      <c:pt idx="11">
                        <c:v>2.3522032303591032</c:v>
                      </c:pt>
                      <c:pt idx="12">
                        <c:v>2.5783532916977028</c:v>
                      </c:pt>
                      <c:pt idx="13">
                        <c:v>2.7960151606155379</c:v>
                      </c:pt>
                      <c:pt idx="14">
                        <c:v>3.0038716568021004</c:v>
                      </c:pt>
                      <c:pt idx="15">
                        <c:v>3.2003413697461061</c:v>
                      </c:pt>
                      <c:pt idx="16">
                        <c:v>3.3833738502794413</c:v>
                      </c:pt>
                      <c:pt idx="17">
                        <c:v>3.5524446081785173</c:v>
                      </c:pt>
                      <c:pt idx="18">
                        <c:v>3.7069682765892598</c:v>
                      </c:pt>
                      <c:pt idx="19">
                        <c:v>3.8472937850531213</c:v>
                      </c:pt>
                      <c:pt idx="20">
                        <c:v>3.973837431782457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45C-464F-9456-78D9F4972EA5}"/>
                  </c:ext>
                </c:extLst>
              </c15:ser>
            </c15:filteredLineSeries>
          </c:ext>
        </c:extLst>
      </c:lineChart>
      <c:catAx>
        <c:axId val="-2083921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</a:t>
                </a:r>
                <a:r>
                  <a:rPr lang="en-GB" baseline="0"/>
                  <a:t> (C)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914464"/>
        <c:crosses val="autoZero"/>
        <c:auto val="1"/>
        <c:lblAlgn val="ctr"/>
        <c:lblOffset val="100"/>
        <c:noMultiLvlLbl val="0"/>
      </c:catAx>
      <c:valAx>
        <c:axId val="-20839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92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'temp sensor'!$A$23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'temp sensor'!$E$24:$E$57</c:f>
              <c:numCache>
                <c:formatCode>0</c:formatCode>
                <c:ptCount val="34"/>
                <c:pt idx="0">
                  <c:v>0</c:v>
                </c:pt>
                <c:pt idx="1">
                  <c:v>79.645099959670446</c:v>
                </c:pt>
                <c:pt idx="2">
                  <c:v>99.772653458915229</c:v>
                </c:pt>
                <c:pt idx="3">
                  <c:v>123.47818319860657</c:v>
                </c:pt>
                <c:pt idx="4">
                  <c:v>150.93350802489357</c:v>
                </c:pt>
                <c:pt idx="5">
                  <c:v>182.20640569395019</c:v>
                </c:pt>
                <c:pt idx="6">
                  <c:v>217.70078740157481</c:v>
                </c:pt>
                <c:pt idx="7">
                  <c:v>256.47495361781074</c:v>
                </c:pt>
                <c:pt idx="8">
                  <c:v>298.28460459596505</c:v>
                </c:pt>
                <c:pt idx="9">
                  <c:v>342.51734390485632</c:v>
                </c:pt>
                <c:pt idx="10">
                  <c:v>388.1238155401137</c:v>
                </c:pt>
                <c:pt idx="11">
                  <c:v>434.64864015091973</c:v>
                </c:pt>
                <c:pt idx="12">
                  <c:v>481.73122157754432</c:v>
                </c:pt>
                <c:pt idx="13">
                  <c:v>528.04675413968948</c:v>
                </c:pt>
                <c:pt idx="14">
                  <c:v>572.62390489406221</c:v>
                </c:pt>
                <c:pt idx="15">
                  <c:v>615.19291531307022</c:v>
                </c:pt>
                <c:pt idx="16">
                  <c:v>655.42991252400248</c:v>
                </c:pt>
                <c:pt idx="17">
                  <c:v>692.91496453722959</c:v>
                </c:pt>
                <c:pt idx="18">
                  <c:v>727.54065575496031</c:v>
                </c:pt>
                <c:pt idx="19">
                  <c:v>759.1871030454804</c:v>
                </c:pt>
                <c:pt idx="20">
                  <c:v>787.92576717887925</c:v>
                </c:pt>
                <c:pt idx="21">
                  <c:v>813.84190602904721</c:v>
                </c:pt>
                <c:pt idx="22">
                  <c:v>836.8114722591306</c:v>
                </c:pt>
                <c:pt idx="23">
                  <c:v>857.32093409779441</c:v>
                </c:pt>
                <c:pt idx="24">
                  <c:v>875.67660016532955</c:v>
                </c:pt>
                <c:pt idx="25">
                  <c:v>891.97742956417369</c:v>
                </c:pt>
                <c:pt idx="26">
                  <c:v>906.31648304098542</c:v>
                </c:pt>
                <c:pt idx="27">
                  <c:v>919.01450585685598</c:v>
                </c:pt>
                <c:pt idx="28">
                  <c:v>930.30767988371156</c:v>
                </c:pt>
                <c:pt idx="29">
                  <c:v>940.29942115537654</c:v>
                </c:pt>
                <c:pt idx="30">
                  <c:v>949.17348988104436</c:v>
                </c:pt>
                <c:pt idx="31">
                  <c:v>957.02590906730825</c:v>
                </c:pt>
                <c:pt idx="32">
                  <c:v>963.97304166826473</c:v>
                </c:pt>
                <c:pt idx="33" formatCode="General">
                  <c:v>1023</c:v>
                </c:pt>
              </c:numCache>
            </c:numRef>
          </c:xVal>
          <c:yVal>
            <c:numRef>
              <c:f>'temp sensor'!$A$24:$A$57</c:f>
              <c:numCache>
                <c:formatCode>General</c:formatCode>
                <c:ptCount val="34"/>
                <c:pt idx="0">
                  <c:v>-20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35-43A7-9D2C-73572078976D}"/>
            </c:ext>
          </c:extLst>
        </c:ser>
        <c:ser>
          <c:idx val="4"/>
          <c:order val="1"/>
          <c:tx>
            <c:strRef>
              <c:f>'temp sensor'!$G$23</c:f>
              <c:strCache>
                <c:ptCount val="1"/>
                <c:pt idx="0">
                  <c:v>Interpol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'temp sensor'!$F$24:$F$57</c:f>
              <c:numCache>
                <c:formatCode>General</c:formatCode>
                <c:ptCount val="34"/>
                <c:pt idx="0">
                  <c:v>0</c:v>
                </c:pt>
                <c:pt idx="2">
                  <c:v>100</c:v>
                </c:pt>
                <c:pt idx="5">
                  <c:v>182</c:v>
                </c:pt>
                <c:pt idx="8">
                  <c:v>298</c:v>
                </c:pt>
                <c:pt idx="11">
                  <c:v>435</c:v>
                </c:pt>
                <c:pt idx="14">
                  <c:v>573</c:v>
                </c:pt>
                <c:pt idx="17">
                  <c:v>693</c:v>
                </c:pt>
                <c:pt idx="21">
                  <c:v>814</c:v>
                </c:pt>
                <c:pt idx="26">
                  <c:v>906</c:v>
                </c:pt>
                <c:pt idx="30">
                  <c:v>949</c:v>
                </c:pt>
                <c:pt idx="33">
                  <c:v>1023</c:v>
                </c:pt>
              </c:numCache>
            </c:numRef>
          </c:xVal>
          <c:yVal>
            <c:numRef>
              <c:f>'temp sensor'!$G$24:$G$57</c:f>
              <c:numCache>
                <c:formatCode>General</c:formatCode>
                <c:ptCount val="34"/>
                <c:pt idx="0">
                  <c:v>-20</c:v>
                </c:pt>
                <c:pt idx="2">
                  <c:v>5</c:v>
                </c:pt>
                <c:pt idx="5">
                  <c:v>20</c:v>
                </c:pt>
                <c:pt idx="8">
                  <c:v>35</c:v>
                </c:pt>
                <c:pt idx="11">
                  <c:v>50</c:v>
                </c:pt>
                <c:pt idx="14">
                  <c:v>65</c:v>
                </c:pt>
                <c:pt idx="17">
                  <c:v>80</c:v>
                </c:pt>
                <c:pt idx="21">
                  <c:v>100</c:v>
                </c:pt>
                <c:pt idx="26">
                  <c:v>125</c:v>
                </c:pt>
                <c:pt idx="30">
                  <c:v>145</c:v>
                </c:pt>
                <c:pt idx="33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35-43A7-9D2C-735720789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3913920"/>
        <c:axId val="-2083909024"/>
      </c:scatterChart>
      <c:valAx>
        <c:axId val="-208391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909024"/>
        <c:crosses val="autoZero"/>
        <c:crossBetween val="midCat"/>
      </c:valAx>
      <c:valAx>
        <c:axId val="-2083909024"/>
        <c:scaling>
          <c:orientation val="minMax"/>
          <c:max val="18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91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9525</xdr:rowOff>
    </xdr:from>
    <xdr:to>
      <xdr:col>3</xdr:col>
      <xdr:colOff>323850</xdr:colOff>
      <xdr:row>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114550" y="390525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7</xdr:row>
      <xdr:rowOff>0</xdr:rowOff>
    </xdr:from>
    <xdr:to>
      <xdr:col>3</xdr:col>
      <xdr:colOff>295275</xdr:colOff>
      <xdr:row>9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085975" y="135255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13</xdr:row>
      <xdr:rowOff>0</xdr:rowOff>
    </xdr:from>
    <xdr:to>
      <xdr:col>3</xdr:col>
      <xdr:colOff>323850</xdr:colOff>
      <xdr:row>14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2105025" y="2514600"/>
          <a:ext cx="9525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8</xdr:row>
      <xdr:rowOff>0</xdr:rowOff>
    </xdr:from>
    <xdr:to>
      <xdr:col>5</xdr:col>
      <xdr:colOff>9525</xdr:colOff>
      <xdr:row>8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2076450" y="1543050"/>
          <a:ext cx="9429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18</xdr:row>
      <xdr:rowOff>14287</xdr:rowOff>
    </xdr:from>
    <xdr:to>
      <xdr:col>14</xdr:col>
      <xdr:colOff>352425</xdr:colOff>
      <xdr:row>34</xdr:row>
      <xdr:rowOff>52387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434340</xdr:colOff>
      <xdr:row>33</xdr:row>
      <xdr:rowOff>118110</xdr:rowOff>
    </xdr:from>
    <xdr:to>
      <xdr:col>15</xdr:col>
      <xdr:colOff>129540</xdr:colOff>
      <xdr:row>48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B089EC-CD7F-47B8-B627-D5A64C024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15" zoomScale="126" zoomScaleNormal="126" workbookViewId="0">
      <selection activeCell="F51" sqref="F51:G51"/>
    </sheetView>
  </sheetViews>
  <sheetFormatPr defaultRowHeight="15" x14ac:dyDescent="0.25"/>
  <cols>
    <col min="1" max="1" width="8.5703125" customWidth="1"/>
    <col min="4" max="4" width="15.28515625" customWidth="1"/>
  </cols>
  <sheetData>
    <row r="1" spans="1:6" x14ac:dyDescent="0.25">
      <c r="A1" s="1" t="s">
        <v>0</v>
      </c>
    </row>
    <row r="2" spans="1:6" x14ac:dyDescent="0.25">
      <c r="D2" s="5" t="s">
        <v>2</v>
      </c>
    </row>
    <row r="3" spans="1:6" ht="15.75" thickBot="1" x14ac:dyDescent="0.3">
      <c r="A3" t="s">
        <v>1</v>
      </c>
    </row>
    <row r="4" spans="1:6" x14ac:dyDescent="0.25">
      <c r="D4" s="2"/>
    </row>
    <row r="5" spans="1:6" x14ac:dyDescent="0.25">
      <c r="D5" s="6" t="s">
        <v>7</v>
      </c>
    </row>
    <row r="6" spans="1:6" x14ac:dyDescent="0.25">
      <c r="D6" s="3"/>
    </row>
    <row r="7" spans="1:6" ht="15.75" thickBot="1" x14ac:dyDescent="0.3">
      <c r="D7" s="4"/>
    </row>
    <row r="8" spans="1:6" x14ac:dyDescent="0.25">
      <c r="F8" s="5" t="s">
        <v>5</v>
      </c>
    </row>
    <row r="9" spans="1:6" ht="15.75" thickBot="1" x14ac:dyDescent="0.3"/>
    <row r="10" spans="1:6" x14ac:dyDescent="0.25">
      <c r="D10" s="2"/>
    </row>
    <row r="11" spans="1:6" x14ac:dyDescent="0.25">
      <c r="D11" s="3" t="s">
        <v>6</v>
      </c>
    </row>
    <row r="12" spans="1:6" x14ac:dyDescent="0.25">
      <c r="D12" s="3"/>
    </row>
    <row r="13" spans="1:6" ht="15.75" thickBot="1" x14ac:dyDescent="0.3">
      <c r="D13" s="4"/>
    </row>
    <row r="15" spans="1:6" x14ac:dyDescent="0.25">
      <c r="D15" s="5" t="s">
        <v>3</v>
      </c>
    </row>
    <row r="16" spans="1:6" x14ac:dyDescent="0.25">
      <c r="A16" t="s">
        <v>8</v>
      </c>
      <c r="C16" t="s">
        <v>9</v>
      </c>
    </row>
    <row r="18" spans="1:7" x14ac:dyDescent="0.25">
      <c r="D18" t="s">
        <v>18</v>
      </c>
      <c r="E18">
        <v>2700</v>
      </c>
      <c r="F18" t="s">
        <v>15</v>
      </c>
    </row>
    <row r="19" spans="1:7" x14ac:dyDescent="0.25">
      <c r="A19" t="s">
        <v>10</v>
      </c>
      <c r="D19" t="s">
        <v>14</v>
      </c>
      <c r="E19">
        <v>10000</v>
      </c>
      <c r="F19" t="s">
        <v>15</v>
      </c>
    </row>
    <row r="20" spans="1:7" x14ac:dyDescent="0.25">
      <c r="D20" t="s">
        <v>16</v>
      </c>
      <c r="E20">
        <v>5</v>
      </c>
      <c r="F20" t="s">
        <v>17</v>
      </c>
    </row>
    <row r="21" spans="1:7" x14ac:dyDescent="0.25">
      <c r="D21" t="s">
        <v>28</v>
      </c>
      <c r="E21">
        <v>1024</v>
      </c>
      <c r="F21" t="s">
        <v>29</v>
      </c>
    </row>
    <row r="23" spans="1:7" ht="18" x14ac:dyDescent="0.35">
      <c r="A23" t="s">
        <v>11</v>
      </c>
      <c r="B23" t="s">
        <v>12</v>
      </c>
      <c r="C23" t="s">
        <v>13</v>
      </c>
      <c r="D23" t="s">
        <v>4</v>
      </c>
      <c r="E23" t="s">
        <v>19</v>
      </c>
      <c r="F23" t="s">
        <v>19</v>
      </c>
      <c r="G23" t="s">
        <v>37</v>
      </c>
    </row>
    <row r="24" spans="1:7" x14ac:dyDescent="0.25">
      <c r="A24">
        <v>-20</v>
      </c>
      <c r="D24" s="7"/>
      <c r="E24" s="8">
        <f>(D24/E$20)*E$21</f>
        <v>0</v>
      </c>
      <c r="F24">
        <v>0</v>
      </c>
      <c r="G24">
        <v>-20</v>
      </c>
    </row>
    <row r="25" spans="1:7" x14ac:dyDescent="0.25">
      <c r="A25">
        <v>0</v>
      </c>
      <c r="B25">
        <v>3.2014</v>
      </c>
      <c r="C25">
        <f>B25*$E$19</f>
        <v>32014</v>
      </c>
      <c r="D25" s="7">
        <f>$E$20*$E$18/($E$18+C25)</f>
        <v>0.38889208964682837</v>
      </c>
      <c r="E25" s="8">
        <f>(D25/E$20)*E$21</f>
        <v>79.645099959670446</v>
      </c>
    </row>
    <row r="26" spans="1:7" x14ac:dyDescent="0.25">
      <c r="A26">
        <v>5</v>
      </c>
      <c r="B26">
        <v>2.5011000000000001</v>
      </c>
      <c r="C26">
        <f t="shared" ref="C26:C45" si="0">B26*$E$19</f>
        <v>25011</v>
      </c>
      <c r="D26" s="7">
        <f t="shared" ref="D26:D45" si="1">$E$20*$E$18/($E$18+C26)</f>
        <v>0.4871711594673595</v>
      </c>
      <c r="E26" s="8">
        <f t="shared" ref="E26:E56" si="2">(D26/E$20)*E$21</f>
        <v>99.772653458915229</v>
      </c>
      <c r="F26">
        <v>100</v>
      </c>
      <c r="G26">
        <v>5</v>
      </c>
    </row>
    <row r="27" spans="1:7" x14ac:dyDescent="0.25">
      <c r="A27">
        <v>10</v>
      </c>
      <c r="B27">
        <v>1.9691000000000001</v>
      </c>
      <c r="C27">
        <f t="shared" si="0"/>
        <v>19691</v>
      </c>
      <c r="D27" s="7">
        <f t="shared" si="1"/>
        <v>0.60292081639944617</v>
      </c>
      <c r="E27" s="8">
        <f t="shared" si="2"/>
        <v>123.47818319860657</v>
      </c>
    </row>
    <row r="28" spans="1:7" x14ac:dyDescent="0.25">
      <c r="A28">
        <v>15</v>
      </c>
      <c r="B28">
        <v>1.5618000000000001</v>
      </c>
      <c r="C28">
        <f t="shared" si="0"/>
        <v>15618</v>
      </c>
      <c r="D28" s="7">
        <f t="shared" si="1"/>
        <v>0.73698001965280058</v>
      </c>
      <c r="E28" s="8">
        <f t="shared" si="2"/>
        <v>150.93350802489357</v>
      </c>
    </row>
    <row r="29" spans="1:7" x14ac:dyDescent="0.25">
      <c r="A29">
        <v>20</v>
      </c>
      <c r="B29">
        <v>1.2474000000000001</v>
      </c>
      <c r="C29">
        <f t="shared" si="0"/>
        <v>12474</v>
      </c>
      <c r="D29" s="7">
        <f t="shared" si="1"/>
        <v>0.88967971530249113</v>
      </c>
      <c r="E29" s="8">
        <f t="shared" si="2"/>
        <v>182.20640569395019</v>
      </c>
      <c r="F29">
        <v>182</v>
      </c>
      <c r="G29">
        <v>20</v>
      </c>
    </row>
    <row r="30" spans="1:7" x14ac:dyDescent="0.25">
      <c r="A30">
        <v>25</v>
      </c>
      <c r="B30">
        <v>1</v>
      </c>
      <c r="C30">
        <f t="shared" si="0"/>
        <v>10000</v>
      </c>
      <c r="D30" s="7">
        <f t="shared" si="1"/>
        <v>1.0629921259842521</v>
      </c>
      <c r="E30" s="8">
        <f t="shared" si="2"/>
        <v>217.70078740157481</v>
      </c>
    </row>
    <row r="31" spans="1:7" x14ac:dyDescent="0.25">
      <c r="A31">
        <v>30</v>
      </c>
      <c r="B31">
        <v>0.80800000000000005</v>
      </c>
      <c r="C31">
        <f t="shared" si="0"/>
        <v>8080.0000000000009</v>
      </c>
      <c r="D31" s="7">
        <f t="shared" si="1"/>
        <v>1.2523191094619666</v>
      </c>
      <c r="E31" s="8">
        <f t="shared" si="2"/>
        <v>256.47495361781074</v>
      </c>
    </row>
    <row r="32" spans="1:7" x14ac:dyDescent="0.25">
      <c r="A32">
        <v>35</v>
      </c>
      <c r="B32">
        <v>0.65690000000000004</v>
      </c>
      <c r="C32">
        <f t="shared" si="0"/>
        <v>6569</v>
      </c>
      <c r="D32" s="7">
        <f t="shared" si="1"/>
        <v>1.4564677958787355</v>
      </c>
      <c r="E32" s="8">
        <f t="shared" si="2"/>
        <v>298.28460459596505</v>
      </c>
      <c r="F32">
        <v>298</v>
      </c>
      <c r="G32">
        <v>35</v>
      </c>
    </row>
    <row r="33" spans="1:7" x14ac:dyDescent="0.25">
      <c r="A33">
        <v>40</v>
      </c>
      <c r="B33">
        <v>0.53720000000000001</v>
      </c>
      <c r="C33">
        <f t="shared" si="0"/>
        <v>5372</v>
      </c>
      <c r="D33" s="7">
        <f t="shared" si="1"/>
        <v>1.6724479682854312</v>
      </c>
      <c r="E33" s="8">
        <f t="shared" si="2"/>
        <v>342.51734390485632</v>
      </c>
    </row>
    <row r="34" spans="1:7" x14ac:dyDescent="0.25">
      <c r="A34">
        <v>45</v>
      </c>
      <c r="B34">
        <v>0.44235000000000002</v>
      </c>
      <c r="C34">
        <f t="shared" si="0"/>
        <v>4423.5</v>
      </c>
      <c r="D34" s="7">
        <f t="shared" si="1"/>
        <v>1.8951358180669615</v>
      </c>
      <c r="E34" s="8">
        <f t="shared" si="2"/>
        <v>388.1238155401137</v>
      </c>
    </row>
    <row r="35" spans="1:7" x14ac:dyDescent="0.25">
      <c r="A35">
        <v>50</v>
      </c>
      <c r="B35">
        <v>0.36609999999999998</v>
      </c>
      <c r="C35">
        <f t="shared" si="0"/>
        <v>3661</v>
      </c>
      <c r="D35" s="7">
        <f t="shared" si="1"/>
        <v>2.1223078132369126</v>
      </c>
      <c r="E35" s="8">
        <f t="shared" si="2"/>
        <v>434.64864015091973</v>
      </c>
      <c r="F35">
        <v>435</v>
      </c>
      <c r="G35">
        <v>50</v>
      </c>
    </row>
    <row r="36" spans="1:7" x14ac:dyDescent="0.25">
      <c r="A36">
        <v>55</v>
      </c>
      <c r="B36">
        <v>0.30392999999999998</v>
      </c>
      <c r="C36">
        <f t="shared" si="0"/>
        <v>3039.2999999999997</v>
      </c>
      <c r="D36" s="7">
        <f t="shared" si="1"/>
        <v>2.3522032303591032</v>
      </c>
      <c r="E36" s="8">
        <f t="shared" si="2"/>
        <v>481.73122157754432</v>
      </c>
    </row>
    <row r="37" spans="1:7" x14ac:dyDescent="0.25">
      <c r="A37">
        <v>60</v>
      </c>
      <c r="B37">
        <v>0.25358999999999998</v>
      </c>
      <c r="C37">
        <f t="shared" si="0"/>
        <v>2535.8999999999996</v>
      </c>
      <c r="D37" s="7">
        <f t="shared" si="1"/>
        <v>2.5783532916977028</v>
      </c>
      <c r="E37" s="8">
        <f t="shared" si="2"/>
        <v>528.04675413968948</v>
      </c>
    </row>
    <row r="38" spans="1:7" x14ac:dyDescent="0.25">
      <c r="A38">
        <v>65</v>
      </c>
      <c r="B38">
        <v>0.21282999999999999</v>
      </c>
      <c r="C38">
        <f t="shared" si="0"/>
        <v>2128.2999999999997</v>
      </c>
      <c r="D38" s="7">
        <f t="shared" si="1"/>
        <v>2.7960151606155379</v>
      </c>
      <c r="E38" s="8">
        <f t="shared" si="2"/>
        <v>572.62390489406221</v>
      </c>
      <c r="F38">
        <v>573</v>
      </c>
      <c r="G38">
        <v>65</v>
      </c>
    </row>
    <row r="39" spans="1:7" x14ac:dyDescent="0.25">
      <c r="A39">
        <v>70</v>
      </c>
      <c r="B39">
        <v>0.17942</v>
      </c>
      <c r="C39">
        <f t="shared" si="0"/>
        <v>1794.2</v>
      </c>
      <c r="D39" s="7">
        <f t="shared" si="1"/>
        <v>3.0038716568021004</v>
      </c>
      <c r="E39" s="8">
        <f t="shared" si="2"/>
        <v>615.19291531307022</v>
      </c>
    </row>
    <row r="40" spans="1:7" x14ac:dyDescent="0.25">
      <c r="A40">
        <v>75</v>
      </c>
      <c r="B40">
        <v>0.15182999999999999</v>
      </c>
      <c r="C40">
        <f t="shared" si="0"/>
        <v>1518.3</v>
      </c>
      <c r="D40" s="7">
        <f t="shared" si="1"/>
        <v>3.2003413697461061</v>
      </c>
      <c r="E40" s="8">
        <f t="shared" si="2"/>
        <v>655.42991252400248</v>
      </c>
    </row>
    <row r="41" spans="1:7" x14ac:dyDescent="0.25">
      <c r="A41">
        <v>80</v>
      </c>
      <c r="B41">
        <v>0.12901000000000001</v>
      </c>
      <c r="C41">
        <f t="shared" si="0"/>
        <v>1290.1000000000001</v>
      </c>
      <c r="D41" s="7">
        <f t="shared" si="1"/>
        <v>3.3833738502794413</v>
      </c>
      <c r="E41" s="8">
        <f t="shared" si="2"/>
        <v>692.91496453722959</v>
      </c>
      <c r="F41">
        <v>693</v>
      </c>
      <c r="G41">
        <v>80</v>
      </c>
    </row>
    <row r="42" spans="1:7" x14ac:dyDescent="0.25">
      <c r="A42">
        <v>85</v>
      </c>
      <c r="B42">
        <v>0.11002000000000001</v>
      </c>
      <c r="C42">
        <f t="shared" si="0"/>
        <v>1100.2</v>
      </c>
      <c r="D42" s="7">
        <f t="shared" si="1"/>
        <v>3.5524446081785173</v>
      </c>
      <c r="E42" s="8">
        <f t="shared" si="2"/>
        <v>727.54065575496031</v>
      </c>
    </row>
    <row r="43" spans="1:7" x14ac:dyDescent="0.25">
      <c r="A43">
        <v>90</v>
      </c>
      <c r="B43">
        <v>9.4178999999999999E-2</v>
      </c>
      <c r="C43">
        <f t="shared" si="0"/>
        <v>941.79</v>
      </c>
      <c r="D43" s="7">
        <f t="shared" si="1"/>
        <v>3.7069682765892598</v>
      </c>
      <c r="E43" s="8">
        <f t="shared" si="2"/>
        <v>759.1871030454804</v>
      </c>
    </row>
    <row r="44" spans="1:7" x14ac:dyDescent="0.25">
      <c r="A44">
        <v>95</v>
      </c>
      <c r="B44">
        <v>8.0895999999999996E-2</v>
      </c>
      <c r="C44">
        <f t="shared" si="0"/>
        <v>808.95999999999992</v>
      </c>
      <c r="D44" s="7">
        <f t="shared" si="1"/>
        <v>3.8472937850531213</v>
      </c>
      <c r="E44" s="8">
        <f t="shared" si="2"/>
        <v>787.92576717887925</v>
      </c>
    </row>
    <row r="45" spans="1:7" x14ac:dyDescent="0.25">
      <c r="A45">
        <v>100</v>
      </c>
      <c r="B45">
        <v>6.9722000000000006E-2</v>
      </c>
      <c r="C45">
        <f t="shared" si="0"/>
        <v>697.22</v>
      </c>
      <c r="D45" s="7">
        <f t="shared" si="1"/>
        <v>3.973837431782457</v>
      </c>
      <c r="E45" s="8">
        <f t="shared" si="2"/>
        <v>813.84190602904721</v>
      </c>
      <c r="F45">
        <v>814</v>
      </c>
      <c r="G45">
        <v>100</v>
      </c>
    </row>
    <row r="46" spans="1:7" x14ac:dyDescent="0.25">
      <c r="A46">
        <v>105</v>
      </c>
      <c r="B46">
        <v>6.0396999999999999E-2</v>
      </c>
      <c r="C46">
        <f t="shared" ref="C46:C56" si="3">B46*$E$19</f>
        <v>603.97</v>
      </c>
      <c r="D46" s="7">
        <f t="shared" ref="D46:D56" si="4">$E$20*$E$18/($E$18+C46)</f>
        <v>4.0859935168902863</v>
      </c>
      <c r="E46" s="8">
        <f t="shared" si="2"/>
        <v>836.8114722591306</v>
      </c>
    </row>
    <row r="47" spans="1:7" x14ac:dyDescent="0.25">
      <c r="A47">
        <v>110</v>
      </c>
      <c r="B47">
        <v>5.2492999999999998E-2</v>
      </c>
      <c r="C47">
        <f t="shared" si="3"/>
        <v>524.92999999999995</v>
      </c>
      <c r="D47" s="7">
        <f t="shared" si="4"/>
        <v>4.186137373524387</v>
      </c>
      <c r="E47" s="8">
        <f t="shared" si="2"/>
        <v>857.32093409779441</v>
      </c>
    </row>
    <row r="48" spans="1:7" x14ac:dyDescent="0.25">
      <c r="A48">
        <v>115</v>
      </c>
      <c r="B48">
        <v>4.5733000000000003E-2</v>
      </c>
      <c r="C48">
        <f t="shared" si="3"/>
        <v>457.33000000000004</v>
      </c>
      <c r="D48" s="7">
        <f t="shared" si="4"/>
        <v>4.2757646492447732</v>
      </c>
      <c r="E48" s="8">
        <f t="shared" si="2"/>
        <v>875.67660016532955</v>
      </c>
    </row>
    <row r="49" spans="1:7" x14ac:dyDescent="0.25">
      <c r="A49">
        <v>120</v>
      </c>
      <c r="B49">
        <v>3.9962999999999999E-2</v>
      </c>
      <c r="C49">
        <f t="shared" si="3"/>
        <v>399.63</v>
      </c>
      <c r="D49" s="7">
        <f t="shared" si="4"/>
        <v>4.3553585427938168</v>
      </c>
      <c r="E49" s="8">
        <f t="shared" si="2"/>
        <v>891.97742956417369</v>
      </c>
    </row>
    <row r="50" spans="1:7" x14ac:dyDescent="0.25">
      <c r="A50">
        <v>125</v>
      </c>
      <c r="B50">
        <v>3.5059E-2</v>
      </c>
      <c r="C50">
        <f t="shared" si="3"/>
        <v>350.59</v>
      </c>
      <c r="D50" s="7">
        <f t="shared" si="4"/>
        <v>4.4253734523485617</v>
      </c>
      <c r="E50" s="8">
        <f t="shared" si="2"/>
        <v>906.31648304098542</v>
      </c>
      <c r="F50">
        <v>906</v>
      </c>
      <c r="G50">
        <v>125</v>
      </c>
    </row>
    <row r="51" spans="1:7" x14ac:dyDescent="0.25">
      <c r="A51">
        <v>130</v>
      </c>
      <c r="B51">
        <v>3.0844E-2</v>
      </c>
      <c r="C51">
        <f t="shared" si="3"/>
        <v>308.44</v>
      </c>
      <c r="D51" s="7">
        <f t="shared" si="4"/>
        <v>4.4873755168791796</v>
      </c>
      <c r="E51" s="8">
        <f t="shared" si="2"/>
        <v>919.01450585685598</v>
      </c>
    </row>
    <row r="52" spans="1:7" x14ac:dyDescent="0.25">
      <c r="A52">
        <v>135</v>
      </c>
      <c r="B52">
        <v>2.7192000000000001E-2</v>
      </c>
      <c r="C52">
        <f t="shared" si="3"/>
        <v>271.92</v>
      </c>
      <c r="D52" s="7">
        <f t="shared" si="4"/>
        <v>4.5425179681821852</v>
      </c>
      <c r="E52" s="8">
        <f t="shared" si="2"/>
        <v>930.30767988371156</v>
      </c>
    </row>
    <row r="53" spans="1:7" x14ac:dyDescent="0.25">
      <c r="A53">
        <v>140</v>
      </c>
      <c r="B53">
        <v>2.4034E-2</v>
      </c>
      <c r="C53">
        <f t="shared" si="3"/>
        <v>240.34</v>
      </c>
      <c r="D53" s="7">
        <f t="shared" si="4"/>
        <v>4.5913057673602369</v>
      </c>
      <c r="E53" s="8">
        <f t="shared" si="2"/>
        <v>940.29942115537654</v>
      </c>
    </row>
    <row r="54" spans="1:7" x14ac:dyDescent="0.25">
      <c r="A54">
        <v>145</v>
      </c>
      <c r="B54">
        <v>2.1284999999999998E-2</v>
      </c>
      <c r="C54">
        <f t="shared" si="3"/>
        <v>212.85</v>
      </c>
      <c r="D54" s="7">
        <f t="shared" si="4"/>
        <v>4.6346361810597871</v>
      </c>
      <c r="E54" s="8">
        <f t="shared" si="2"/>
        <v>949.17348988104436</v>
      </c>
      <c r="F54">
        <v>949</v>
      </c>
      <c r="G54">
        <v>145</v>
      </c>
    </row>
    <row r="55" spans="1:7" x14ac:dyDescent="0.25">
      <c r="A55">
        <v>150</v>
      </c>
      <c r="B55">
        <v>1.8894999999999999E-2</v>
      </c>
      <c r="C55">
        <f t="shared" si="3"/>
        <v>188.95</v>
      </c>
      <c r="D55" s="7">
        <f t="shared" si="4"/>
        <v>4.6729780716177158</v>
      </c>
      <c r="E55" s="8">
        <f t="shared" si="2"/>
        <v>957.02590906730825</v>
      </c>
    </row>
    <row r="56" spans="1:7" x14ac:dyDescent="0.25">
      <c r="A56">
        <v>155</v>
      </c>
      <c r="B56">
        <v>1.6813000000000002E-2</v>
      </c>
      <c r="C56">
        <f t="shared" si="3"/>
        <v>168.13000000000002</v>
      </c>
      <c r="D56" s="7">
        <f t="shared" si="4"/>
        <v>4.7068996175208238</v>
      </c>
      <c r="E56" s="8">
        <f t="shared" si="2"/>
        <v>963.97304166826473</v>
      </c>
    </row>
    <row r="57" spans="1:7" x14ac:dyDescent="0.25">
      <c r="A57">
        <v>180</v>
      </c>
      <c r="E57">
        <v>1023</v>
      </c>
      <c r="F57">
        <v>1023</v>
      </c>
      <c r="G57">
        <v>180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B23" sqref="B23"/>
    </sheetView>
  </sheetViews>
  <sheetFormatPr defaultRowHeight="15" x14ac:dyDescent="0.25"/>
  <cols>
    <col min="1" max="1" width="35.85546875" customWidth="1"/>
  </cols>
  <sheetData>
    <row r="1" spans="1:4" x14ac:dyDescent="0.25">
      <c r="A1" s="11" t="s">
        <v>26</v>
      </c>
    </row>
    <row r="2" spans="1:4" x14ac:dyDescent="0.25">
      <c r="A2" s="11"/>
    </row>
    <row r="3" spans="1:4" x14ac:dyDescent="0.25">
      <c r="A3" t="s">
        <v>65</v>
      </c>
      <c r="B3">
        <v>53</v>
      </c>
      <c r="C3" t="s">
        <v>17</v>
      </c>
    </row>
    <row r="4" spans="1:4" x14ac:dyDescent="0.25">
      <c r="A4" t="s">
        <v>21</v>
      </c>
      <c r="B4">
        <v>5</v>
      </c>
      <c r="C4" t="s">
        <v>17</v>
      </c>
    </row>
    <row r="5" spans="1:4" x14ac:dyDescent="0.25">
      <c r="A5" t="s">
        <v>30</v>
      </c>
      <c r="B5">
        <v>1024</v>
      </c>
      <c r="C5" t="s">
        <v>29</v>
      </c>
    </row>
    <row r="7" spans="1:4" x14ac:dyDescent="0.25">
      <c r="A7" t="s">
        <v>22</v>
      </c>
    </row>
    <row r="8" spans="1:4" x14ac:dyDescent="0.25">
      <c r="A8" t="s">
        <v>53</v>
      </c>
      <c r="B8">
        <v>1000</v>
      </c>
      <c r="C8" t="s">
        <v>15</v>
      </c>
    </row>
    <row r="9" spans="1:4" x14ac:dyDescent="0.25">
      <c r="A9" t="s">
        <v>52</v>
      </c>
      <c r="B9">
        <v>13000</v>
      </c>
      <c r="C9" t="s">
        <v>15</v>
      </c>
    </row>
    <row r="10" spans="1:4" x14ac:dyDescent="0.25">
      <c r="A10" s="13" t="s">
        <v>61</v>
      </c>
      <c r="B10">
        <f>B8/(B8+B9)</f>
        <v>7.1428571428571425E-2</v>
      </c>
      <c r="C10" t="s">
        <v>39</v>
      </c>
    </row>
    <row r="11" spans="1:4" ht="30" x14ac:dyDescent="0.25">
      <c r="A11" s="13" t="s">
        <v>62</v>
      </c>
    </row>
    <row r="12" spans="1:4" x14ac:dyDescent="0.25">
      <c r="A12" s="13" t="s">
        <v>54</v>
      </c>
      <c r="B12">
        <v>47</v>
      </c>
      <c r="C12" t="s">
        <v>15</v>
      </c>
    </row>
    <row r="13" spans="1:4" x14ac:dyDescent="0.25">
      <c r="A13" s="13" t="s">
        <v>55</v>
      </c>
      <c r="B13">
        <v>10000</v>
      </c>
      <c r="C13" t="s">
        <v>15</v>
      </c>
    </row>
    <row r="14" spans="1:4" x14ac:dyDescent="0.25">
      <c r="A14" s="13" t="s">
        <v>56</v>
      </c>
      <c r="B14">
        <f>B13/(B13+B12)</f>
        <v>0.99532198666268534</v>
      </c>
      <c r="D14" t="s">
        <v>57</v>
      </c>
    </row>
    <row r="15" spans="1:4" ht="30" x14ac:dyDescent="0.25">
      <c r="A15" s="13" t="s">
        <v>59</v>
      </c>
      <c r="B15">
        <f>B10*B14</f>
        <v>7.1094427618763237E-2</v>
      </c>
    </row>
    <row r="16" spans="1:4" x14ac:dyDescent="0.25">
      <c r="A16" s="13" t="s">
        <v>58</v>
      </c>
      <c r="B16" s="16">
        <v>0.9</v>
      </c>
    </row>
    <row r="17" spans="1:4" x14ac:dyDescent="0.25">
      <c r="A17" s="13" t="s">
        <v>63</v>
      </c>
      <c r="B17" s="17">
        <f>B15*B16</f>
        <v>6.3984984856886917E-2</v>
      </c>
      <c r="C17" t="s">
        <v>39</v>
      </c>
    </row>
    <row r="19" spans="1:4" x14ac:dyDescent="0.25">
      <c r="A19" s="13" t="s">
        <v>64</v>
      </c>
    </row>
    <row r="20" spans="1:4" x14ac:dyDescent="0.25">
      <c r="A20" t="s">
        <v>66</v>
      </c>
      <c r="B20" s="9">
        <f>B3*B10*B14*B16</f>
        <v>3.3912041974150062</v>
      </c>
      <c r="C20" t="s">
        <v>17</v>
      </c>
      <c r="D20" t="s">
        <v>60</v>
      </c>
    </row>
    <row r="21" spans="1:4" x14ac:dyDescent="0.25">
      <c r="A21" t="s">
        <v>79</v>
      </c>
      <c r="B21" s="8">
        <f>B20/B4*B$5</f>
        <v>694.51861963059332</v>
      </c>
    </row>
    <row r="22" spans="1:4" x14ac:dyDescent="0.25">
      <c r="A22" t="s">
        <v>113</v>
      </c>
      <c r="B22" s="8">
        <f>256*(B20/B4)</f>
        <v>173.62965490764833</v>
      </c>
    </row>
    <row r="23" spans="1:4" x14ac:dyDescent="0.25">
      <c r="B23" s="8"/>
    </row>
    <row r="24" spans="1:4" x14ac:dyDescent="0.25">
      <c r="A24" t="s">
        <v>25</v>
      </c>
    </row>
    <row r="25" spans="1:4" x14ac:dyDescent="0.25">
      <c r="A25" t="s">
        <v>80</v>
      </c>
    </row>
    <row r="26" spans="1:4" x14ac:dyDescent="0.25">
      <c r="A26" t="s">
        <v>24</v>
      </c>
      <c r="B26" s="10">
        <f>(B$4/B$5)*(1/B17)</f>
        <v>7.6311848958333331E-2</v>
      </c>
      <c r="C26" t="s">
        <v>23</v>
      </c>
    </row>
    <row r="28" spans="1:4" x14ac:dyDescent="0.25">
      <c r="A28" t="s">
        <v>40</v>
      </c>
      <c r="B28" s="12">
        <f>B26*1023</f>
        <v>78.067021484375005</v>
      </c>
      <c r="C28" t="s">
        <v>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tabSelected="1" zoomScaleNormal="100" workbookViewId="0">
      <selection activeCell="D39" sqref="D39"/>
    </sheetView>
  </sheetViews>
  <sheetFormatPr defaultRowHeight="15" x14ac:dyDescent="0.25"/>
  <cols>
    <col min="1" max="1" width="46.5703125" customWidth="1"/>
    <col min="2" max="2" width="13.5703125" customWidth="1"/>
    <col min="3" max="3" width="19.28515625" customWidth="1"/>
  </cols>
  <sheetData>
    <row r="1" spans="1:5" x14ac:dyDescent="0.25">
      <c r="A1" s="11" t="s">
        <v>27</v>
      </c>
    </row>
    <row r="3" spans="1:5" x14ac:dyDescent="0.25">
      <c r="A3" t="s">
        <v>31</v>
      </c>
      <c r="B3">
        <v>5</v>
      </c>
      <c r="C3" t="s">
        <v>17</v>
      </c>
    </row>
    <row r="4" spans="1:5" x14ac:dyDescent="0.25">
      <c r="A4" t="s">
        <v>30</v>
      </c>
      <c r="B4">
        <v>1024</v>
      </c>
      <c r="C4" t="s">
        <v>29</v>
      </c>
    </row>
    <row r="6" spans="1:5" x14ac:dyDescent="0.25">
      <c r="A6" t="s">
        <v>88</v>
      </c>
    </row>
    <row r="7" spans="1:5" x14ac:dyDescent="0.25">
      <c r="A7" t="s">
        <v>89</v>
      </c>
    </row>
    <row r="9" spans="1:5" s="15" customFormat="1" ht="30" x14ac:dyDescent="0.25">
      <c r="A9" s="15" t="s">
        <v>51</v>
      </c>
      <c r="B9" s="15" t="s">
        <v>44</v>
      </c>
      <c r="C9" s="15" t="s">
        <v>45</v>
      </c>
    </row>
    <row r="10" spans="1:5" s="13" customFormat="1" x14ac:dyDescent="0.25">
      <c r="A10" s="13" t="s">
        <v>90</v>
      </c>
      <c r="B10" s="13">
        <v>1500</v>
      </c>
      <c r="C10" s="13">
        <f>B10/4</f>
        <v>375</v>
      </c>
      <c r="D10" s="13" t="s">
        <v>20</v>
      </c>
      <c r="E10" t="s">
        <v>91</v>
      </c>
    </row>
    <row r="11" spans="1:5" s="13" customFormat="1" x14ac:dyDescent="0.25">
      <c r="A11" t="s">
        <v>50</v>
      </c>
      <c r="B11" s="12">
        <f>SQRT(B10*50)</f>
        <v>273.86127875258308</v>
      </c>
      <c r="C11" s="12">
        <f>SQRT(C10*50)</f>
        <v>136.93063937629154</v>
      </c>
      <c r="D11" s="13" t="s">
        <v>17</v>
      </c>
    </row>
    <row r="12" spans="1:5" s="13" customFormat="1" x14ac:dyDescent="0.25">
      <c r="A12" s="13" t="s">
        <v>102</v>
      </c>
      <c r="B12" s="21">
        <f>SQRT(2)*B11</f>
        <v>387.29833462074174</v>
      </c>
      <c r="C12" s="21">
        <f>SQRT(2)*C11</f>
        <v>193.64916731037087</v>
      </c>
      <c r="D12" s="13" t="s">
        <v>17</v>
      </c>
    </row>
    <row r="13" spans="1:5" s="13" customFormat="1" x14ac:dyDescent="0.25">
      <c r="B13" s="21"/>
      <c r="C13" s="21"/>
    </row>
    <row r="14" spans="1:5" x14ac:dyDescent="0.25">
      <c r="A14" t="s">
        <v>46</v>
      </c>
      <c r="B14">
        <v>24</v>
      </c>
      <c r="C14">
        <v>24</v>
      </c>
    </row>
    <row r="15" spans="1:5" x14ac:dyDescent="0.25">
      <c r="A15" t="s">
        <v>92</v>
      </c>
      <c r="B15">
        <f>1/B14</f>
        <v>4.1666666666666664E-2</v>
      </c>
      <c r="C15">
        <f>1/C14</f>
        <v>4.1666666666666664E-2</v>
      </c>
    </row>
    <row r="16" spans="1:5" x14ac:dyDescent="0.25">
      <c r="A16" t="s">
        <v>103</v>
      </c>
      <c r="B16" s="7">
        <f>B12*B15</f>
        <v>16.137430609197573</v>
      </c>
      <c r="C16" s="7">
        <f>C12*C15</f>
        <v>8.0687153045987863</v>
      </c>
    </row>
    <row r="18" spans="1:5" x14ac:dyDescent="0.25">
      <c r="A18" t="s">
        <v>93</v>
      </c>
      <c r="B18">
        <v>12</v>
      </c>
      <c r="C18">
        <v>6</v>
      </c>
      <c r="D18" t="s">
        <v>47</v>
      </c>
      <c r="E18" t="s">
        <v>104</v>
      </c>
    </row>
    <row r="19" spans="1:5" x14ac:dyDescent="0.25">
      <c r="A19" t="s">
        <v>94</v>
      </c>
      <c r="B19" s="13" t="s">
        <v>48</v>
      </c>
      <c r="C19" s="13" t="s">
        <v>49</v>
      </c>
    </row>
    <row r="20" spans="1:5" x14ac:dyDescent="0.25">
      <c r="A20" t="s">
        <v>95</v>
      </c>
      <c r="B20">
        <f>1/(10^(B18/20))</f>
        <v>0.25118864315095801</v>
      </c>
      <c r="C20">
        <f>1/(10^(C18/20))</f>
        <v>0.50118723362727224</v>
      </c>
    </row>
    <row r="21" spans="1:5" x14ac:dyDescent="0.25">
      <c r="A21" t="s">
        <v>96</v>
      </c>
    </row>
    <row r="22" spans="1:5" x14ac:dyDescent="0.25">
      <c r="A22" t="s">
        <v>97</v>
      </c>
      <c r="B22">
        <v>510</v>
      </c>
      <c r="C22">
        <v>510</v>
      </c>
      <c r="D22" t="s">
        <v>15</v>
      </c>
    </row>
    <row r="23" spans="1:5" x14ac:dyDescent="0.25">
      <c r="A23" t="s">
        <v>98</v>
      </c>
      <c r="B23">
        <v>10000</v>
      </c>
      <c r="C23">
        <v>10000</v>
      </c>
      <c r="D23" t="s">
        <v>15</v>
      </c>
    </row>
    <row r="24" spans="1:5" x14ac:dyDescent="0.25">
      <c r="A24" t="s">
        <v>56</v>
      </c>
      <c r="B24">
        <f>B23/(B23+B22)</f>
        <v>0.95147478591817314</v>
      </c>
      <c r="C24">
        <f>C23/(C23+C22)</f>
        <v>0.95147478591817314</v>
      </c>
    </row>
    <row r="26" spans="1:5" x14ac:dyDescent="0.25">
      <c r="A26" t="s">
        <v>106</v>
      </c>
      <c r="B26">
        <f>B15*B20*B24</f>
        <v>9.9583191861305903E-3</v>
      </c>
      <c r="C26">
        <f>C15*C20*C24</f>
        <v>1.9869458992517929E-2</v>
      </c>
    </row>
    <row r="27" spans="1:5" x14ac:dyDescent="0.25">
      <c r="A27" t="s">
        <v>99</v>
      </c>
      <c r="B27">
        <f>B12*B26</f>
        <v>3.8568404364101578</v>
      </c>
      <c r="C27">
        <f>C12*C26</f>
        <v>3.8477041888086574</v>
      </c>
    </row>
    <row r="29" spans="1:5" x14ac:dyDescent="0.25">
      <c r="A29" t="s">
        <v>100</v>
      </c>
      <c r="B29" s="14">
        <v>0.9</v>
      </c>
      <c r="C29" s="14">
        <v>0.9</v>
      </c>
    </row>
    <row r="30" spans="1:5" x14ac:dyDescent="0.25">
      <c r="A30" t="s">
        <v>105</v>
      </c>
      <c r="B30" s="14">
        <f>B26*B29</f>
        <v>8.9624872675175323E-3</v>
      </c>
      <c r="C30" s="14">
        <f>C26*C29</f>
        <v>1.7882513093266137E-2</v>
      </c>
    </row>
    <row r="31" spans="1:5" x14ac:dyDescent="0.25">
      <c r="A31" t="s">
        <v>101</v>
      </c>
      <c r="B31">
        <f>B27*B29</f>
        <v>3.4711563927691422</v>
      </c>
      <c r="C31">
        <f>C27*C29</f>
        <v>3.4629337699277918</v>
      </c>
    </row>
    <row r="32" spans="1:5" x14ac:dyDescent="0.25">
      <c r="A32" t="s">
        <v>108</v>
      </c>
      <c r="B32" s="8">
        <f>($B4/$B3)*B31</f>
        <v>710.89282923912037</v>
      </c>
      <c r="C32" s="8">
        <f>($B4/$B3)*C31</f>
        <v>709.20883608121176</v>
      </c>
    </row>
    <row r="33" spans="1:4" x14ac:dyDescent="0.25">
      <c r="A33" t="s">
        <v>115</v>
      </c>
      <c r="B33" s="8"/>
      <c r="C33" s="8">
        <f>256*(C31/B3)</f>
        <v>177.30220902030294</v>
      </c>
    </row>
    <row r="35" spans="1:4" x14ac:dyDescent="0.25">
      <c r="A35" t="s">
        <v>107</v>
      </c>
    </row>
    <row r="36" spans="1:4" x14ac:dyDescent="0.25">
      <c r="A36" t="s">
        <v>80</v>
      </c>
    </row>
    <row r="37" spans="1:4" x14ac:dyDescent="0.25">
      <c r="A37" t="s">
        <v>109</v>
      </c>
      <c r="B37" s="10">
        <f>($B$3/$B$4)*(1/B30)/SQRT(2)</f>
        <v>0.38523567475803783</v>
      </c>
      <c r="C37" s="10">
        <f>($B$3/$B$4)*(1/C30)/SQRT(2)</f>
        <v>0.1930752021265166</v>
      </c>
      <c r="D37" t="s">
        <v>23</v>
      </c>
    </row>
    <row r="38" spans="1:4" x14ac:dyDescent="0.25">
      <c r="A38" t="s">
        <v>116</v>
      </c>
      <c r="B38">
        <f>B37*B37/50</f>
        <v>2.9681305021256139E-3</v>
      </c>
      <c r="C38">
        <f>C37*C37/50</f>
        <v>7.4556067352390476E-4</v>
      </c>
      <c r="D38" t="s">
        <v>117</v>
      </c>
    </row>
    <row r="40" spans="1:4" x14ac:dyDescent="0.25">
      <c r="A40" t="s">
        <v>110</v>
      </c>
      <c r="B40" s="12">
        <f>B37*1023</f>
        <v>394.09609527747267</v>
      </c>
      <c r="C40" s="12">
        <f>C37*1023</f>
        <v>197.51593177542648</v>
      </c>
      <c r="D40" t="s">
        <v>17</v>
      </c>
    </row>
    <row r="41" spans="1:4" x14ac:dyDescent="0.25">
      <c r="A41" t="s">
        <v>111</v>
      </c>
      <c r="B41" s="8">
        <f>B40*B40/50</f>
        <v>3106.2346462590167</v>
      </c>
      <c r="C41" s="8">
        <f>C40*C40/50</f>
        <v>780.25086610229857</v>
      </c>
      <c r="D41" t="s">
        <v>20</v>
      </c>
    </row>
    <row r="44" spans="1:4" x14ac:dyDescent="0.25">
      <c r="A44" t="s">
        <v>112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>
      <selection activeCell="B26" sqref="B26"/>
    </sheetView>
  </sheetViews>
  <sheetFormatPr defaultRowHeight="15" x14ac:dyDescent="0.25"/>
  <cols>
    <col min="1" max="1" width="46.140625" style="13" customWidth="1"/>
    <col min="2" max="2" width="10.140625" customWidth="1"/>
  </cols>
  <sheetData>
    <row r="1" spans="1:5" x14ac:dyDescent="0.25">
      <c r="A1" s="20" t="s">
        <v>32</v>
      </c>
    </row>
    <row r="3" spans="1:5" ht="15.75" x14ac:dyDescent="0.25">
      <c r="A3" s="13" t="s">
        <v>41</v>
      </c>
      <c r="B3" s="18" t="s">
        <v>67</v>
      </c>
      <c r="E3" s="5"/>
    </row>
    <row r="5" spans="1:5" x14ac:dyDescent="0.25">
      <c r="A5" s="13" t="s">
        <v>35</v>
      </c>
      <c r="B5">
        <v>5</v>
      </c>
      <c r="C5" t="s">
        <v>17</v>
      </c>
    </row>
    <row r="6" spans="1:5" x14ac:dyDescent="0.25">
      <c r="A6" s="13" t="s">
        <v>36</v>
      </c>
      <c r="B6">
        <v>1024</v>
      </c>
      <c r="C6" t="s">
        <v>29</v>
      </c>
    </row>
    <row r="8" spans="1:5" x14ac:dyDescent="0.25">
      <c r="A8" s="13" t="s">
        <v>33</v>
      </c>
      <c r="B8">
        <v>0.1</v>
      </c>
      <c r="C8" t="s">
        <v>38</v>
      </c>
      <c r="D8" t="s">
        <v>68</v>
      </c>
    </row>
    <row r="9" spans="1:5" ht="30" x14ac:dyDescent="0.25">
      <c r="A9" s="13" t="s">
        <v>86</v>
      </c>
      <c r="B9">
        <v>0</v>
      </c>
      <c r="C9" t="s">
        <v>34</v>
      </c>
      <c r="D9" t="s">
        <v>76</v>
      </c>
    </row>
    <row r="10" spans="1:5" x14ac:dyDescent="0.25">
      <c r="A10" s="13" t="s">
        <v>69</v>
      </c>
    </row>
    <row r="11" spans="1:5" x14ac:dyDescent="0.25">
      <c r="A11" s="13" t="s">
        <v>43</v>
      </c>
      <c r="B11" s="10">
        <v>2700</v>
      </c>
      <c r="C11" t="s">
        <v>15</v>
      </c>
    </row>
    <row r="12" spans="1:5" x14ac:dyDescent="0.25">
      <c r="A12" s="13" t="s">
        <v>42</v>
      </c>
      <c r="B12">
        <v>10000</v>
      </c>
      <c r="C12" t="s">
        <v>15</v>
      </c>
    </row>
    <row r="13" spans="1:5" x14ac:dyDescent="0.25">
      <c r="A13" s="13" t="s">
        <v>70</v>
      </c>
      <c r="B13">
        <f>B8*B12/(B11+B12)</f>
        <v>7.874015748031496E-2</v>
      </c>
      <c r="C13" t="s">
        <v>38</v>
      </c>
    </row>
    <row r="15" spans="1:5" x14ac:dyDescent="0.25">
      <c r="A15" s="13" t="s">
        <v>71</v>
      </c>
    </row>
    <row r="16" spans="1:5" x14ac:dyDescent="0.25">
      <c r="A16" s="13" t="s">
        <v>72</v>
      </c>
      <c r="B16">
        <v>47</v>
      </c>
      <c r="C16" t="s">
        <v>15</v>
      </c>
    </row>
    <row r="17" spans="1:7" x14ac:dyDescent="0.25">
      <c r="A17" s="13" t="s">
        <v>55</v>
      </c>
      <c r="B17">
        <v>10000</v>
      </c>
      <c r="C17" t="s">
        <v>15</v>
      </c>
    </row>
    <row r="18" spans="1:7" x14ac:dyDescent="0.25">
      <c r="A18" s="13" t="s">
        <v>56</v>
      </c>
      <c r="B18">
        <f>B17/(B17+B16)</f>
        <v>0.99532198666268534</v>
      </c>
      <c r="D18" t="s">
        <v>57</v>
      </c>
    </row>
    <row r="19" spans="1:7" x14ac:dyDescent="0.25">
      <c r="A19" s="13" t="s">
        <v>59</v>
      </c>
      <c r="B19">
        <f>B13*B18</f>
        <v>7.8371809973439788E-2</v>
      </c>
    </row>
    <row r="20" spans="1:7" x14ac:dyDescent="0.25">
      <c r="A20" s="13" t="s">
        <v>58</v>
      </c>
      <c r="B20" s="16">
        <v>0.9</v>
      </c>
    </row>
    <row r="21" spans="1:7" x14ac:dyDescent="0.25">
      <c r="A21" s="13" t="s">
        <v>63</v>
      </c>
      <c r="B21" s="17">
        <f>B19*B20</f>
        <v>7.0534628976095817E-2</v>
      </c>
      <c r="C21" t="s">
        <v>73</v>
      </c>
    </row>
    <row r="22" spans="1:7" x14ac:dyDescent="0.25">
      <c r="B22" s="17"/>
    </row>
    <row r="23" spans="1:7" x14ac:dyDescent="0.25">
      <c r="A23" s="13" t="s">
        <v>74</v>
      </c>
      <c r="B23" s="19">
        <v>45</v>
      </c>
      <c r="C23" t="s">
        <v>34</v>
      </c>
    </row>
    <row r="24" spans="1:7" x14ac:dyDescent="0.25">
      <c r="A24" s="13" t="s">
        <v>77</v>
      </c>
      <c r="B24" s="17">
        <f>(B23+B9)*B21</f>
        <v>3.174058303924312</v>
      </c>
      <c r="D24" t="s">
        <v>75</v>
      </c>
    </row>
    <row r="25" spans="1:7" x14ac:dyDescent="0.25">
      <c r="A25" s="13" t="s">
        <v>78</v>
      </c>
      <c r="B25" s="19">
        <f>(B6/B5)*B24</f>
        <v>650.04714064369909</v>
      </c>
    </row>
    <row r="26" spans="1:7" x14ac:dyDescent="0.25">
      <c r="A26" s="13" t="s">
        <v>114</v>
      </c>
      <c r="B26" s="19">
        <f>256*(B24/B5)</f>
        <v>162.51178516092477</v>
      </c>
    </row>
    <row r="27" spans="1:7" x14ac:dyDescent="0.25">
      <c r="B27" s="17"/>
    </row>
    <row r="28" spans="1:7" ht="30" x14ac:dyDescent="0.25">
      <c r="A28" s="13" t="s">
        <v>81</v>
      </c>
    </row>
    <row r="29" spans="1:7" x14ac:dyDescent="0.25">
      <c r="A29" s="13" t="s">
        <v>80</v>
      </c>
    </row>
    <row r="30" spans="1:7" x14ac:dyDescent="0.25">
      <c r="A30" s="13" t="s">
        <v>82</v>
      </c>
      <c r="B30" s="10">
        <f>(B$5/B$6)*(1/B21)</f>
        <v>6.9225748697916673E-2</v>
      </c>
      <c r="C30" t="s">
        <v>23</v>
      </c>
      <c r="G30">
        <f>B30*650</f>
        <v>44.99673665364584</v>
      </c>
    </row>
    <row r="32" spans="1:7" x14ac:dyDescent="0.25">
      <c r="A32" s="13" t="s">
        <v>83</v>
      </c>
      <c r="B32" s="12">
        <f>B30*1023</f>
        <v>70.817940917968755</v>
      </c>
      <c r="C32" t="s">
        <v>34</v>
      </c>
    </row>
    <row r="33" spans="1:3" x14ac:dyDescent="0.25">
      <c r="B33" s="17"/>
    </row>
    <row r="34" spans="1:3" ht="30" x14ac:dyDescent="0.25">
      <c r="A34" s="13" t="s">
        <v>84</v>
      </c>
      <c r="B34" s="17"/>
    </row>
    <row r="35" spans="1:3" x14ac:dyDescent="0.25">
      <c r="B35" s="17"/>
    </row>
    <row r="36" spans="1:3" ht="45" x14ac:dyDescent="0.25">
      <c r="A36" s="13" t="s">
        <v>85</v>
      </c>
      <c r="B36" s="17"/>
    </row>
    <row r="37" spans="1:3" x14ac:dyDescent="0.25">
      <c r="A37" s="13" t="s">
        <v>82</v>
      </c>
      <c r="B37" s="10">
        <f>B30</f>
        <v>6.9225748697916673E-2</v>
      </c>
      <c r="C37" t="s">
        <v>87</v>
      </c>
    </row>
    <row r="38" spans="1:3" x14ac:dyDescent="0.25">
      <c r="B38" s="12"/>
    </row>
    <row r="40" spans="1:3" x14ac:dyDescent="0.25">
      <c r="B40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 sensor</vt:lpstr>
      <vt:lpstr>voltage</vt:lpstr>
      <vt:lpstr>Fwd, Reverse power</vt:lpstr>
      <vt:lpstr>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</dc:creator>
  <cp:lastModifiedBy>Laurence Barker</cp:lastModifiedBy>
  <dcterms:created xsi:type="dcterms:W3CDTF">2019-11-05T19:55:48Z</dcterms:created>
  <dcterms:modified xsi:type="dcterms:W3CDTF">2026-01-09T10:41:46Z</dcterms:modified>
</cp:coreProperties>
</file>